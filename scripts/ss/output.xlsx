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тои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 [$¥-804]* #,##0.00_ ;_ [$¥-804]* \-#,##0.00_ ;_ [$¥-804]* &quot;-&quot;??_ ;_ @_ "/>
    <numFmt numFmtId="165" formatCode="_-* #,##0.00\ &quot;₽&quot;_-;\-* #,##0.00\ &quot;₽&quot;_-;_-* &quot;-&quot;??\ &quot;₽&quot;_-;_-@_-"/>
    <numFmt numFmtId="166" formatCode="#,##0.00\ &quot;₽&quot;"/>
    <numFmt numFmtId="167" formatCode="0.0%"/>
    <numFmt numFmtId="168" formatCode="0.000000"/>
    <numFmt numFmtId="169" formatCode="0.0000"/>
  </numFmts>
  <fonts count="3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general" vertical="center"/>
    </xf>
    <xf numFmtId="164" fontId="1" fillId="0" borderId="1" applyAlignment="1" pivotButton="0" quotePrefix="0" xfId="0">
      <alignment horizontal="general" vertical="center"/>
    </xf>
    <xf numFmtId="165" fontId="1" fillId="0" borderId="1" applyAlignment="1" pivotButton="0" quotePrefix="0" xfId="0">
      <alignment horizontal="general" vertical="center"/>
    </xf>
    <xf numFmtId="166" fontId="1" fillId="0" borderId="1" applyAlignment="1" pivotButton="0" quotePrefix="0" xfId="0">
      <alignment horizontal="general" vertical="center"/>
    </xf>
    <xf numFmtId="167" fontId="1" fillId="0" borderId="1" applyAlignment="1" pivotButton="0" quotePrefix="0" xfId="0">
      <alignment horizontal="general" vertical="center"/>
    </xf>
    <xf numFmtId="168" fontId="1" fillId="0" borderId="1" applyAlignment="1" pivotButton="0" quotePrefix="0" xfId="0">
      <alignment horizontal="general" vertical="center"/>
    </xf>
    <xf numFmtId="169" fontId="1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164" fontId="2" fillId="0" borderId="1" applyAlignment="1" pivotButton="0" quotePrefix="0" xfId="0">
      <alignment horizontal="general" vertical="center"/>
    </xf>
    <xf numFmtId="165" fontId="2" fillId="0" borderId="1" applyAlignment="1" pivotButton="0" quotePrefix="0" xfId="0">
      <alignment horizontal="general" vertical="center"/>
    </xf>
    <xf numFmtId="166" fontId="2" fillId="0" borderId="1" applyAlignment="1" pivotButton="0" quotePrefix="0" xfId="0">
      <alignment horizontal="general" vertical="center"/>
    </xf>
    <xf numFmtId="167" fontId="2" fillId="0" borderId="1" applyAlignment="1" pivotButton="0" quotePrefix="0" xfId="0">
      <alignment horizontal="general" vertical="center"/>
    </xf>
    <xf numFmtId="168" fontId="2" fillId="0" borderId="1" applyAlignment="1" pivotButton="0" quotePrefix="0" xfId="0">
      <alignment horizontal="general" vertical="center"/>
    </xf>
    <xf numFmtId="169" fontId="2" fillId="0" borderId="1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5703125" customWidth="1" min="1" max="1"/>
    <col width="21.28515625" customWidth="1" min="2" max="2"/>
    <col width="18.42578125" customWidth="1" min="3" max="3"/>
    <col width="25" customWidth="1" min="4" max="4"/>
    <col width="29.85546875" customWidth="1" min="5" max="5"/>
    <col width="16.85546875" customWidth="1" min="6" max="6"/>
    <col width="17" customWidth="1" min="7" max="7"/>
    <col width="17.7109375" customWidth="1" min="8" max="8"/>
    <col width="16.7109375" customWidth="1" min="9" max="9"/>
    <col width="10.85546875" customWidth="1" min="10" max="10"/>
    <col width="10.7109375" customWidth="1" min="11" max="11"/>
    <col width="11.28515625" customWidth="1" min="12" max="12"/>
    <col width="10.28515625" customWidth="1" min="13" max="13"/>
    <col width="14.5703125" customWidth="1" min="14" max="14"/>
    <col width="7.140625" customWidth="1" min="15" max="15"/>
    <col width="7.7109375" customWidth="1" min="16" max="16"/>
    <col width="13.140625" customWidth="1" min="17" max="17"/>
    <col width="13.85546875" customWidth="1" min="18" max="18"/>
    <col width="16.42578125" customWidth="1" min="19" max="19"/>
    <col width="14.7109375" customWidth="1" min="20" max="20"/>
    <col width="16.5703125" customWidth="1" min="21" max="21"/>
    <col width="17" customWidth="1" min="22" max="22"/>
    <col width="16.42578125" customWidth="1" min="23" max="23"/>
    <col width="15.85546875" customWidth="1" min="24" max="24"/>
    <col hidden="1" width="25" customWidth="1" min="27" max="27"/>
    <col hidden="1" width="18" customWidth="1" min="28" max="28"/>
  </cols>
  <sheetData>
    <row r="1" ht="63" customHeight="1">
      <c r="A1" s="1" t="inlineStr">
        <is>
          <t>Наименование товара</t>
        </is>
      </c>
      <c r="B1" s="1" t="inlineStr">
        <is>
          <t>Кол-во, шт</t>
        </is>
      </c>
      <c r="C1" s="1" t="inlineStr">
        <is>
          <t>Стоимость, CNY</t>
        </is>
      </c>
      <c r="D1" s="1" t="inlineStr">
        <is>
          <t>Таможенная стоимость, руб</t>
        </is>
      </c>
      <c r="E1" s="1" t="inlineStr">
        <is>
          <t>ТО (пошлина)</t>
        </is>
      </c>
      <c r="F1" s="1" t="inlineStr">
        <is>
          <t>ТО (СБОР)</t>
        </is>
      </c>
      <c r="G1" s="1" t="inlineStr">
        <is>
          <t>ТО (НДС)</t>
        </is>
      </c>
      <c r="H1" s="1" t="inlineStr">
        <is>
          <t>Терминалка</t>
        </is>
      </c>
      <c r="I1" s="1" t="inlineStr">
        <is>
          <t>Фрахт</t>
        </is>
      </c>
      <c r="J1" s="1" t="inlineStr">
        <is>
          <t>Выгрузка</t>
        </is>
      </c>
      <c r="K1" s="1" t="inlineStr">
        <is>
          <t>ЖД</t>
        </is>
      </c>
      <c r="L1" s="1" t="inlineStr">
        <is>
          <t xml:space="preserve">Доп расходы в порту </t>
        </is>
      </c>
      <c r="M1" s="1" t="inlineStr">
        <is>
          <t>Дем/Дет</t>
        </is>
      </c>
      <c r="N1" s="1" t="inlineStr">
        <is>
          <t>Доп расходы таможня</t>
        </is>
      </c>
      <c r="O1" s="1" t="inlineStr">
        <is>
          <t>После</t>
        </is>
      </c>
      <c r="P1" s="1" t="inlineStr">
        <is>
          <t>До</t>
        </is>
      </c>
      <c r="Q1" s="1" t="inlineStr">
        <is>
          <t>Вывоз (без НДС)</t>
        </is>
      </c>
      <c r="R1" s="1" t="inlineStr">
        <is>
          <t>Непредвиденные затраты</t>
        </is>
      </c>
      <c r="S1" s="1" t="inlineStr">
        <is>
          <t>Затраты на конвертацию</t>
        </is>
      </c>
      <c r="T1" s="1" t="inlineStr">
        <is>
          <t>Стоимость КЭФ</t>
        </is>
      </c>
      <c r="U1" s="1" t="inlineStr">
        <is>
          <t>Кубатура КЭФ</t>
        </is>
      </c>
      <c r="V1" s="1" t="inlineStr">
        <is>
          <t>Кубатура, CBM</t>
        </is>
      </c>
      <c r="W1" s="1" t="inlineStr">
        <is>
          <t>С/С цена за кг, без НДС</t>
        </is>
      </c>
      <c r="X1" s="1" t="inlineStr">
        <is>
          <t>С/С цена за кг, с НДС</t>
        </is>
      </c>
      <c r="AA1" t="inlineStr">
        <is>
          <t>Фрахт</t>
        </is>
      </c>
      <c r="AB1" t="n">
        <v>1390000</v>
      </c>
    </row>
    <row r="2">
      <c r="A2" s="2" t="inlineStr">
        <is>
          <t>MS 25-631/632/633/634/635</t>
        </is>
      </c>
      <c r="B2" s="2" t="n">
        <v>10200</v>
      </c>
      <c r="C2" s="3" t="n">
        <v>5426.4</v>
      </c>
      <c r="D2" s="4">
        <f>C2*$AB$10+I2</f>
        <v/>
      </c>
      <c r="E2" s="4">
        <f>D2*0.05</f>
        <v/>
      </c>
      <c r="F2" s="5">
        <f>$AB$13*T2</f>
        <v/>
      </c>
      <c r="G2" s="4">
        <f>(D2+E2)*1.22</f>
        <v/>
      </c>
      <c r="H2" s="4">
        <f>$AB$2*U2</f>
        <v/>
      </c>
      <c r="I2" s="4">
        <f>$AB$1*U2</f>
        <v/>
      </c>
      <c r="J2" s="4">
        <f>$AB$3*U2</f>
        <v/>
      </c>
      <c r="K2" s="4">
        <f>$AB$4*U2</f>
        <v/>
      </c>
      <c r="L2" s="4">
        <f>$AB$5*U2</f>
        <v/>
      </c>
      <c r="M2" s="4">
        <f>$AB$6*U2</f>
        <v/>
      </c>
      <c r="N2" s="4">
        <f>$AB$7*U2</f>
        <v/>
      </c>
      <c r="O2" s="6" t="n">
        <v>0.7</v>
      </c>
      <c r="P2" s="6" t="n">
        <v>0.3</v>
      </c>
      <c r="Q2" s="4">
        <f>$AB$8*U2</f>
        <v/>
      </c>
      <c r="R2" s="4">
        <f>$AB$9*U2</f>
        <v/>
      </c>
      <c r="S2" s="4">
        <f>(C2*P2*$AB$11+C2*O2*$AB$12)*0.01</f>
        <v/>
      </c>
      <c r="T2" s="7">
        <f>C2/$C$19</f>
        <v/>
      </c>
      <c r="U2" s="7">
        <f>V2/$V$19</f>
        <v/>
      </c>
      <c r="V2" s="8">
        <f>B2/200*0.0186</f>
        <v/>
      </c>
      <c r="W2" s="4">
        <f>(C2*P2*$AB$11+C2*O2*$AB$12+E2+F2+H2+I2+J2+K2+L2+M2+N2+Q2+R2+S2)/B2</f>
        <v/>
      </c>
      <c r="X2" s="4">
        <f>1.22*W2</f>
        <v/>
      </c>
      <c r="AA2" t="inlineStr">
        <is>
          <t>Терминалка</t>
        </is>
      </c>
      <c r="AB2" t="n">
        <v>47000</v>
      </c>
    </row>
    <row r="3">
      <c r="A3" s="2" t="inlineStr">
        <is>
          <t>M 25-241/242/243/244/245</t>
        </is>
      </c>
      <c r="B3" s="2" t="n">
        <v>20200</v>
      </c>
      <c r="C3" s="3" t="n">
        <v>13594.6</v>
      </c>
      <c r="D3" s="4">
        <f>C3*$AB$10+I3</f>
        <v/>
      </c>
      <c r="E3" s="4">
        <f>D3*0.05</f>
        <v/>
      </c>
      <c r="F3" s="5">
        <f>$AB$13*T3</f>
        <v/>
      </c>
      <c r="G3" s="4">
        <f>(D3+E3)*1.22</f>
        <v/>
      </c>
      <c r="H3" s="4">
        <f>$AB$2*U3</f>
        <v/>
      </c>
      <c r="I3" s="4">
        <f>$AB$1*U3</f>
        <v/>
      </c>
      <c r="J3" s="4">
        <f>$AB$3*U3</f>
        <v/>
      </c>
      <c r="K3" s="4">
        <f>$AB$4*U3</f>
        <v/>
      </c>
      <c r="L3" s="4">
        <f>$AB$5*U3</f>
        <v/>
      </c>
      <c r="M3" s="4">
        <f>$AB$6*U3</f>
        <v/>
      </c>
      <c r="N3" s="4">
        <f>$AB$7*U3</f>
        <v/>
      </c>
      <c r="O3" s="6" t="n">
        <v>0.7</v>
      </c>
      <c r="P3" s="6" t="n">
        <v>0.3</v>
      </c>
      <c r="Q3" s="4">
        <f>$AB$8*U3</f>
        <v/>
      </c>
      <c r="R3" s="4">
        <f>$AB$9*U3</f>
        <v/>
      </c>
      <c r="S3" s="4">
        <f>(C3*P3*$AB$11+C3*O3*$AB$12)*0.01</f>
        <v/>
      </c>
      <c r="T3" s="7">
        <f>C3/$C$19</f>
        <v/>
      </c>
      <c r="U3" s="7">
        <f>V3/$V$19</f>
        <v/>
      </c>
      <c r="V3" s="8">
        <f>B3/200*0.026208</f>
        <v/>
      </c>
      <c r="W3" s="4">
        <f>(C3*P3*$AB$11+C3*O3*$AB$12+E3+F3+H3+I3+J3+K3+L3+M3+N3+Q3+R3+S3)/B3</f>
        <v/>
      </c>
      <c r="X3" s="4">
        <f>1.22*W3</f>
        <v/>
      </c>
      <c r="AA3" t="inlineStr">
        <is>
          <t>Выгрузка</t>
        </is>
      </c>
      <c r="AB3" t="n">
        <v>5000</v>
      </c>
    </row>
    <row r="4">
      <c r="A4" s="2" t="inlineStr">
        <is>
          <t>M 25-246/247/248/249/250</t>
        </is>
      </c>
      <c r="B4" s="2" t="n">
        <v>19800</v>
      </c>
      <c r="C4" s="3" t="n">
        <v>13325.4</v>
      </c>
      <c r="D4" s="4">
        <f>C4*$AB$10+I4</f>
        <v/>
      </c>
      <c r="E4" s="4">
        <f>D4*0.05</f>
        <v/>
      </c>
      <c r="F4" s="5">
        <f>$AB$13*T4</f>
        <v/>
      </c>
      <c r="G4" s="4">
        <f>(D4+E4)*1.22</f>
        <v/>
      </c>
      <c r="H4" s="4">
        <f>$AB$2*U4</f>
        <v/>
      </c>
      <c r="I4" s="4">
        <f>$AB$1*U4</f>
        <v/>
      </c>
      <c r="J4" s="4">
        <f>$AB$3*U4</f>
        <v/>
      </c>
      <c r="K4" s="4">
        <f>$AB$4*U4</f>
        <v/>
      </c>
      <c r="L4" s="4">
        <f>$AB$5*U4</f>
        <v/>
      </c>
      <c r="M4" s="4">
        <f>$AB$6*U4</f>
        <v/>
      </c>
      <c r="N4" s="4">
        <f>$AB$7*U4</f>
        <v/>
      </c>
      <c r="O4" s="6" t="n">
        <v>0.7</v>
      </c>
      <c r="P4" s="6" t="n">
        <v>0.3</v>
      </c>
      <c r="Q4" s="4">
        <f>$AB$8*U4</f>
        <v/>
      </c>
      <c r="R4" s="4">
        <f>$AB$9*U4</f>
        <v/>
      </c>
      <c r="S4" s="4">
        <f>(C4*P4*$AB$11+C4*O4*$AB$12)*0.01</f>
        <v/>
      </c>
      <c r="T4" s="7">
        <f>C4/$C$19</f>
        <v/>
      </c>
      <c r="U4" s="7">
        <f>V4/$V$19</f>
        <v/>
      </c>
      <c r="V4" s="8">
        <f>B4/200*0.026208</f>
        <v/>
      </c>
      <c r="W4" s="4">
        <f>(C4*P4*$AB$11+C4*O4*$AB$12+E4+F4+H4+I4+J4+K4+L4+M4+N4+Q4+R4+S4)/B4</f>
        <v/>
      </c>
      <c r="X4" s="4">
        <f>1.22*W4</f>
        <v/>
      </c>
      <c r="AA4" t="inlineStr">
        <is>
          <t>ЖД</t>
        </is>
      </c>
      <c r="AB4" t="n">
        <v>30000</v>
      </c>
    </row>
    <row r="5">
      <c r="A5" s="2" t="inlineStr">
        <is>
          <t>ML 25-726/727/728/729/730</t>
        </is>
      </c>
      <c r="B5" s="2" t="n">
        <v>25200</v>
      </c>
      <c r="C5" s="3" t="n">
        <v>20512.8</v>
      </c>
      <c r="D5" s="4">
        <f>C5*$AB$10+I5</f>
        <v/>
      </c>
      <c r="E5" s="4">
        <f>D5*0.05</f>
        <v/>
      </c>
      <c r="F5" s="5">
        <f>$AB$13*T5</f>
        <v/>
      </c>
      <c r="G5" s="4">
        <f>(D5+E5)*1.22</f>
        <v/>
      </c>
      <c r="H5" s="4">
        <f>$AB$2*U5</f>
        <v/>
      </c>
      <c r="I5" s="4">
        <f>$AB$1*U5</f>
        <v/>
      </c>
      <c r="J5" s="4">
        <f>$AB$3*U5</f>
        <v/>
      </c>
      <c r="K5" s="4">
        <f>$AB$4*U5</f>
        <v/>
      </c>
      <c r="L5" s="4">
        <f>$AB$5*U5</f>
        <v/>
      </c>
      <c r="M5" s="4">
        <f>$AB$6*U5</f>
        <v/>
      </c>
      <c r="N5" s="4">
        <f>$AB$7*U5</f>
        <v/>
      </c>
      <c r="O5" s="6" t="n">
        <v>0.7</v>
      </c>
      <c r="P5" s="6" t="n">
        <v>0.3</v>
      </c>
      <c r="Q5" s="4">
        <f>$AB$8*U5</f>
        <v/>
      </c>
      <c r="R5" s="4">
        <f>$AB$9*U5</f>
        <v/>
      </c>
      <c r="S5" s="4">
        <f>(C5*P5*$AB$11+C5*O5*$AB$12)*0.01</f>
        <v/>
      </c>
      <c r="T5" s="7">
        <f>C5/$C$19</f>
        <v/>
      </c>
      <c r="U5" s="7">
        <f>V5/$V$19</f>
        <v/>
      </c>
      <c r="V5" s="8">
        <f>B5/200*0.03933</f>
        <v/>
      </c>
      <c r="W5" s="4">
        <f>(C5*P5*$AB$11+C5*O5*$AB$12+E5+F5+H5+I5+J5+K5+L5+M5+N5+Q5+R5+S5)/B5</f>
        <v/>
      </c>
      <c r="X5" s="4">
        <f>1.22*W5</f>
        <v/>
      </c>
      <c r="AA5" t="inlineStr">
        <is>
          <t>Доп расходы в порту</t>
        </is>
      </c>
      <c r="AB5" t="n">
        <v>1345</v>
      </c>
    </row>
    <row r="6">
      <c r="A6" s="2" t="inlineStr">
        <is>
          <t>L 25-331/332/333/334/335</t>
        </is>
      </c>
      <c r="B6" s="2" t="n">
        <v>40600</v>
      </c>
      <c r="C6" s="3" t="n">
        <v>42427</v>
      </c>
      <c r="D6" s="4">
        <f>C6*$AB$10+I6</f>
        <v/>
      </c>
      <c r="E6" s="4">
        <f>D6*0.05</f>
        <v/>
      </c>
      <c r="F6" s="5">
        <f>$AB$13*T6</f>
        <v/>
      </c>
      <c r="G6" s="4">
        <f>(D6+E6)*1.22</f>
        <v/>
      </c>
      <c r="H6" s="4">
        <f>$AB$2*U6</f>
        <v/>
      </c>
      <c r="I6" s="4">
        <f>$AB$1*U6</f>
        <v/>
      </c>
      <c r="J6" s="4">
        <f>$AB$3*U6</f>
        <v/>
      </c>
      <c r="K6" s="4">
        <f>$AB$4*U6</f>
        <v/>
      </c>
      <c r="L6" s="4">
        <f>$AB$5*U6</f>
        <v/>
      </c>
      <c r="M6" s="4">
        <f>$AB$6*U6</f>
        <v/>
      </c>
      <c r="N6" s="4">
        <f>$AB$7*U6</f>
        <v/>
      </c>
      <c r="O6" s="6" t="n">
        <v>0.7</v>
      </c>
      <c r="P6" s="6" t="n">
        <v>0.3</v>
      </c>
      <c r="Q6" s="4">
        <f>$AB$8*U6</f>
        <v/>
      </c>
      <c r="R6" s="4">
        <f>$AB$9*U6</f>
        <v/>
      </c>
      <c r="S6" s="4">
        <f>(C6*P6*$AB$11+C6*O6*$AB$12)*0.01</f>
        <v/>
      </c>
      <c r="T6" s="7">
        <f>C6/$C$19</f>
        <v/>
      </c>
      <c r="U6" s="7">
        <f>V6/$V$19</f>
        <v/>
      </c>
      <c r="V6" s="8">
        <f>B6/200*0.0456</f>
        <v/>
      </c>
      <c r="W6" s="4">
        <f>(C6*P6*$AB$11+C6*O6*$AB$12+E6+F6+H6+I6+J6+K6+L6+M6+N6+Q6+R6+S6)/B6</f>
        <v/>
      </c>
      <c r="X6" s="4">
        <f>1.22*W6</f>
        <v/>
      </c>
      <c r="AA6" t="inlineStr">
        <is>
          <t>Дем/Дет</t>
        </is>
      </c>
      <c r="AB6" t="n">
        <v>2345</v>
      </c>
    </row>
    <row r="7">
      <c r="A7" s="2" t="inlineStr">
        <is>
          <t>XL 25-526/527/528/529/530</t>
        </is>
      </c>
      <c r="B7" s="2" t="n">
        <v>10600</v>
      </c>
      <c r="C7" s="3" t="n">
        <v>13854.2</v>
      </c>
      <c r="D7" s="4">
        <f>C7*$AB$10+I7</f>
        <v/>
      </c>
      <c r="E7" s="4">
        <f>D7*0.05</f>
        <v/>
      </c>
      <c r="F7" s="5">
        <f>$AB$13*T7</f>
        <v/>
      </c>
      <c r="G7" s="4">
        <f>(D7+E7)*1.22</f>
        <v/>
      </c>
      <c r="H7" s="4">
        <f>$AB$2*U7</f>
        <v/>
      </c>
      <c r="I7" s="4">
        <f>$AB$1*U7</f>
        <v/>
      </c>
      <c r="J7" s="4">
        <f>$AB$3*U7</f>
        <v/>
      </c>
      <c r="K7" s="4">
        <f>$AB$4*U7</f>
        <v/>
      </c>
      <c r="L7" s="4">
        <f>$AB$5*U7</f>
        <v/>
      </c>
      <c r="M7" s="4">
        <f>$AB$6*U7</f>
        <v/>
      </c>
      <c r="N7" s="4">
        <f>$AB$7*U7</f>
        <v/>
      </c>
      <c r="O7" s="6" t="n">
        <v>0.7</v>
      </c>
      <c r="P7" s="6" t="n">
        <v>0.3</v>
      </c>
      <c r="Q7" s="4">
        <f>$AB$8*U7</f>
        <v/>
      </c>
      <c r="R7" s="4">
        <f>$AB$9*U7</f>
        <v/>
      </c>
      <c r="S7" s="4">
        <f>(C7*P7*$AB$11+C7*O7*$AB$12)*0.01</f>
        <v/>
      </c>
      <c r="T7" s="7">
        <f>C7/$C$19</f>
        <v/>
      </c>
      <c r="U7" s="7">
        <f>V7/$V$19</f>
        <v/>
      </c>
      <c r="V7" s="8">
        <f>B7/200*0.056028</f>
        <v/>
      </c>
      <c r="W7" s="4">
        <f>(C7*P7*$AB$11+C7*O7*$AB$12+E7+F7+H7+I7+J7+K7+L7+M7+N7+Q7+R7+S7)/B7</f>
        <v/>
      </c>
      <c r="X7" s="4">
        <f>1.22*W7</f>
        <v/>
      </c>
      <c r="AA7" t="inlineStr">
        <is>
          <t>Доп расходы таможня</t>
        </is>
      </c>
      <c r="AB7" t="n">
        <v>1000</v>
      </c>
    </row>
    <row r="8">
      <c r="A8" s="2" t="inlineStr">
        <is>
          <t>BP 25-4011/4012/4013/4014/4015</t>
        </is>
      </c>
      <c r="B8" s="2" t="n">
        <v>20600</v>
      </c>
      <c r="C8" s="3" t="n">
        <v>17963.2</v>
      </c>
      <c r="D8" s="4">
        <f>C8*$AB$10+I8</f>
        <v/>
      </c>
      <c r="E8" s="4">
        <f>D8*0.05</f>
        <v/>
      </c>
      <c r="F8" s="5">
        <f>$AB$13*T8</f>
        <v/>
      </c>
      <c r="G8" s="4">
        <f>(D8+E8)*1.22</f>
        <v/>
      </c>
      <c r="H8" s="4">
        <f>$AB$2*U8</f>
        <v/>
      </c>
      <c r="I8" s="4">
        <f>$AB$1*U8</f>
        <v/>
      </c>
      <c r="J8" s="4">
        <f>$AB$3*U8</f>
        <v/>
      </c>
      <c r="K8" s="4">
        <f>$AB$4*U8</f>
        <v/>
      </c>
      <c r="L8" s="4">
        <f>$AB$5*U8</f>
        <v/>
      </c>
      <c r="M8" s="4">
        <f>$AB$6*U8</f>
        <v/>
      </c>
      <c r="N8" s="4">
        <f>$AB$7*U8</f>
        <v/>
      </c>
      <c r="O8" s="6" t="n">
        <v>0.7</v>
      </c>
      <c r="P8" s="6" t="n">
        <v>0.3</v>
      </c>
      <c r="Q8" s="4">
        <f>$AB$8*U8</f>
        <v/>
      </c>
      <c r="R8" s="4">
        <f>$AB$9*U8</f>
        <v/>
      </c>
      <c r="S8" s="4">
        <f>(C8*P8*$AB$11+C8*O8*$AB$12)*0.01</f>
        <v/>
      </c>
      <c r="T8" s="7">
        <f>C8/$C$19</f>
        <v/>
      </c>
      <c r="U8" s="7">
        <f>V8/$V$19</f>
        <v/>
      </c>
      <c r="V8" s="8">
        <f>B8/200*0.0288</f>
        <v/>
      </c>
      <c r="W8" s="4">
        <f>(C8*P8*$AB$11+C8*O8*$AB$12+E8+F8+H8+I8+J8+K8+L8+M8+N8+Q8+R8+S8)/B8</f>
        <v/>
      </c>
      <c r="X8" s="4">
        <f>1.22*W8</f>
        <v/>
      </c>
      <c r="AA8" t="inlineStr">
        <is>
          <t>Вывоз (без НДС)</t>
        </is>
      </c>
      <c r="AB8" t="n">
        <v>12455</v>
      </c>
    </row>
    <row r="9">
      <c r="A9" s="2" t="inlineStr">
        <is>
          <t>MP 25-2006/2007</t>
        </is>
      </c>
      <c r="B9" s="2" t="n">
        <v>8000</v>
      </c>
      <c r="C9" s="3" t="n">
        <v>6216</v>
      </c>
      <c r="D9" s="4">
        <f>C9*$AB$10+I9</f>
        <v/>
      </c>
      <c r="E9" s="4">
        <f>D9*0.05</f>
        <v/>
      </c>
      <c r="F9" s="5">
        <f>$AB$13*T9</f>
        <v/>
      </c>
      <c r="G9" s="4">
        <f>(D9+E9)*1.22</f>
        <v/>
      </c>
      <c r="H9" s="4">
        <f>$AB$2*U9</f>
        <v/>
      </c>
      <c r="I9" s="4">
        <f>$AB$1*U9</f>
        <v/>
      </c>
      <c r="J9" s="4">
        <f>$AB$3*U9</f>
        <v/>
      </c>
      <c r="K9" s="4">
        <f>$AB$4*U9</f>
        <v/>
      </c>
      <c r="L9" s="4">
        <f>$AB$5*U9</f>
        <v/>
      </c>
      <c r="M9" s="4">
        <f>$AB$6*U9</f>
        <v/>
      </c>
      <c r="N9" s="4">
        <f>$AB$7*U9</f>
        <v/>
      </c>
      <c r="O9" s="6" t="n">
        <v>0.7</v>
      </c>
      <c r="P9" s="6" t="n">
        <v>0.3</v>
      </c>
      <c r="Q9" s="4">
        <f>$AB$8*U9</f>
        <v/>
      </c>
      <c r="R9" s="4">
        <f>$AB$9*U9</f>
        <v/>
      </c>
      <c r="S9" s="4">
        <f>(C9*P9*$AB$11+C9*O9*$AB$12)*0.01</f>
        <v/>
      </c>
      <c r="T9" s="7">
        <f>C9/$C$19</f>
        <v/>
      </c>
      <c r="U9" s="7">
        <f>V9/$V$19</f>
        <v/>
      </c>
      <c r="V9" s="8">
        <f>B9/200*0.026208</f>
        <v/>
      </c>
      <c r="W9" s="4">
        <f>(C9*P9*$AB$11+C9*O9*$AB$12+E9+F9+H9+I9+J9+K9+L9+M9+N9+Q9+R9+S9)/B9</f>
        <v/>
      </c>
      <c r="X9" s="4">
        <f>1.22*W9</f>
        <v/>
      </c>
      <c r="AA9" t="inlineStr">
        <is>
          <t>Непредвиденные</t>
        </is>
      </c>
      <c r="AB9" t="n">
        <v>100</v>
      </c>
    </row>
    <row r="10">
      <c r="A10" s="2" t="inlineStr">
        <is>
          <t>LP 25-3016/3017/3018/3019/3020</t>
        </is>
      </c>
      <c r="B10" s="2" t="n">
        <v>20200</v>
      </c>
      <c r="C10" s="3" t="n">
        <v>25654</v>
      </c>
      <c r="D10" s="4">
        <f>C10*$AB$10+I10</f>
        <v/>
      </c>
      <c r="E10" s="4">
        <f>D10*0.05</f>
        <v/>
      </c>
      <c r="F10" s="5">
        <f>$AB$13*T10</f>
        <v/>
      </c>
      <c r="G10" s="4">
        <f>(D10+E10)*1.22</f>
        <v/>
      </c>
      <c r="H10" s="4">
        <f>$AB$2*U10</f>
        <v/>
      </c>
      <c r="I10" s="4">
        <f>$AB$1*U10</f>
        <v/>
      </c>
      <c r="J10" s="4">
        <f>$AB$3*U10</f>
        <v/>
      </c>
      <c r="K10" s="4">
        <f>$AB$4*U10</f>
        <v/>
      </c>
      <c r="L10" s="4">
        <f>$AB$5*U10</f>
        <v/>
      </c>
      <c r="M10" s="4">
        <f>$AB$6*U10</f>
        <v/>
      </c>
      <c r="N10" s="4">
        <f>$AB$7*U10</f>
        <v/>
      </c>
      <c r="O10" s="6" t="n">
        <v>0.7</v>
      </c>
      <c r="P10" s="6" t="n">
        <v>0.3</v>
      </c>
      <c r="Q10" s="4">
        <f>$AB$8*U10</f>
        <v/>
      </c>
      <c r="R10" s="4">
        <f>$AB$9*U10</f>
        <v/>
      </c>
      <c r="S10" s="4">
        <f>(C10*P10*$AB$11+C10*O10*$AB$12)*0.01</f>
        <v/>
      </c>
      <c r="T10" s="7">
        <f>C10/$C$19</f>
        <v/>
      </c>
      <c r="U10" s="7">
        <f>V10/$V$19</f>
        <v/>
      </c>
      <c r="V10" s="8">
        <f>B10/200*0.044175</f>
        <v/>
      </c>
      <c r="W10" s="4">
        <f>(C10*P10*$AB$11+C10*O10*$AB$12+E10+F10+H10+I10+J10+K10+L10+M10+N10+Q10+R10+S10)/B10</f>
        <v/>
      </c>
      <c r="X10" s="4">
        <f>1.22*W10</f>
        <v/>
      </c>
      <c r="AA10" t="inlineStr">
        <is>
          <t>Курс ГТД</t>
        </is>
      </c>
      <c r="AB10" t="n">
        <v>13.8539</v>
      </c>
    </row>
    <row r="11">
      <c r="A11" s="2" t="inlineStr">
        <is>
          <t>LP 25-3001/3002/3003/3004/3005</t>
        </is>
      </c>
      <c r="B11" s="2" t="n">
        <v>19400</v>
      </c>
      <c r="C11" s="3" t="n">
        <v>24638</v>
      </c>
      <c r="D11" s="4">
        <f>C11*$AB$10+I11</f>
        <v/>
      </c>
      <c r="E11" s="4">
        <f>D11*0.05</f>
        <v/>
      </c>
      <c r="F11" s="5">
        <f>$AB$13*T11</f>
        <v/>
      </c>
      <c r="G11" s="4">
        <f>(D11+E11)*1.22</f>
        <v/>
      </c>
      <c r="H11" s="4">
        <f>$AB$2*U11</f>
        <v/>
      </c>
      <c r="I11" s="4">
        <f>$AB$1*U11</f>
        <v/>
      </c>
      <c r="J11" s="4">
        <f>$AB$3*U11</f>
        <v/>
      </c>
      <c r="K11" s="4">
        <f>$AB$4*U11</f>
        <v/>
      </c>
      <c r="L11" s="4">
        <f>$AB$5*U11</f>
        <v/>
      </c>
      <c r="M11" s="4">
        <f>$AB$6*U11</f>
        <v/>
      </c>
      <c r="N11" s="4">
        <f>$AB$7*U11</f>
        <v/>
      </c>
      <c r="O11" s="6" t="n">
        <v>0.7</v>
      </c>
      <c r="P11" s="6" t="n">
        <v>0.3</v>
      </c>
      <c r="Q11" s="4">
        <f>$AB$8*U11</f>
        <v/>
      </c>
      <c r="R11" s="4">
        <f>$AB$9*U11</f>
        <v/>
      </c>
      <c r="S11" s="4">
        <f>(C11*P11*$AB$11+C11*O11*$AB$12)*0.01</f>
        <v/>
      </c>
      <c r="T11" s="7">
        <f>C11/$C$19</f>
        <v/>
      </c>
      <c r="U11" s="7">
        <f>V11/$V$19</f>
        <v/>
      </c>
      <c r="V11" s="8">
        <f>B11/200*0.044175</f>
        <v/>
      </c>
      <c r="W11" s="4">
        <f>(C11*P11*$AB$11+C11*O11*$AB$12+E11+F11+H11+I11+J11+K11+L11+M11+N11+Q11+R11+S11)/B11</f>
        <v/>
      </c>
      <c r="X11" s="4">
        <f>1.22*W11</f>
        <v/>
      </c>
      <c r="AA11" t="inlineStr">
        <is>
          <t>Курс предоплаты</t>
        </is>
      </c>
      <c r="AB11" t="n">
        <v>13.6922</v>
      </c>
    </row>
    <row r="12">
      <c r="A12" s="2" t="inlineStr">
        <is>
          <t>XL KRAFT 25-005/006/007/008/009</t>
        </is>
      </c>
      <c r="B12" s="2" t="n">
        <v>24800</v>
      </c>
      <c r="C12" s="3" t="n">
        <v>24378.4</v>
      </c>
      <c r="D12" s="4">
        <f>C12*$AB$10+I12</f>
        <v/>
      </c>
      <c r="E12" s="4">
        <f>D12*0.05</f>
        <v/>
      </c>
      <c r="F12" s="5">
        <f>$AB$13*T12</f>
        <v/>
      </c>
      <c r="G12" s="4">
        <f>(D12+E12)*1.22</f>
        <v/>
      </c>
      <c r="H12" s="4">
        <f>$AB$2*U12</f>
        <v/>
      </c>
      <c r="I12" s="4">
        <f>$AB$1*U12</f>
        <v/>
      </c>
      <c r="J12" s="4">
        <f>$AB$3*U12</f>
        <v/>
      </c>
      <c r="K12" s="4">
        <f>$AB$4*U12</f>
        <v/>
      </c>
      <c r="L12" s="4">
        <f>$AB$5*U12</f>
        <v/>
      </c>
      <c r="M12" s="4">
        <f>$AB$6*U12</f>
        <v/>
      </c>
      <c r="N12" s="4">
        <f>$AB$7*U12</f>
        <v/>
      </c>
      <c r="O12" s="6" t="n">
        <v>0.7</v>
      </c>
      <c r="P12" s="6" t="n">
        <v>0.3</v>
      </c>
      <c r="Q12" s="4">
        <f>$AB$8*U12</f>
        <v/>
      </c>
      <c r="R12" s="4">
        <f>$AB$9*U12</f>
        <v/>
      </c>
      <c r="S12" s="4">
        <f>(C12*P12*$AB$11+C12*O12*$AB$12)*0.01</f>
        <v/>
      </c>
      <c r="T12" s="7">
        <f>C12/$C$19</f>
        <v/>
      </c>
      <c r="U12" s="7">
        <f>V12/$V$19</f>
        <v/>
      </c>
      <c r="V12" s="8">
        <f>B12/200*0.06468</f>
        <v/>
      </c>
      <c r="W12" s="4">
        <f>(C12*P12*$AB$11+C12*O12*$AB$12+E12+F12+H12+I12+J12+K12+L12+M12+N12+Q12+R12+S12)/B12</f>
        <v/>
      </c>
      <c r="X12" s="4">
        <f>1.22*W12</f>
        <v/>
      </c>
      <c r="AA12" t="inlineStr">
        <is>
          <t>Курс баланса</t>
        </is>
      </c>
      <c r="AB12" t="n">
        <v>14.3</v>
      </c>
    </row>
    <row r="13">
      <c r="A13" s="2" t="inlineStr">
        <is>
          <t>XXLH 25-9902/9903</t>
        </is>
      </c>
      <c r="B13" s="2" t="n">
        <v>10000</v>
      </c>
      <c r="C13" s="3" t="n">
        <v>25330</v>
      </c>
      <c r="D13" s="4">
        <f>C13*$AB$10+I13</f>
        <v/>
      </c>
      <c r="E13" s="4">
        <f>D13*0.05</f>
        <v/>
      </c>
      <c r="F13" s="5">
        <f>$AB$13*T13</f>
        <v/>
      </c>
      <c r="G13" s="4">
        <f>(D13+E13)*1.22</f>
        <v/>
      </c>
      <c r="H13" s="4">
        <f>$AB$2*U13</f>
        <v/>
      </c>
      <c r="I13" s="4">
        <f>$AB$1*U13</f>
        <v/>
      </c>
      <c r="J13" s="4">
        <f>$AB$3*U13</f>
        <v/>
      </c>
      <c r="K13" s="4">
        <f>$AB$4*U13</f>
        <v/>
      </c>
      <c r="L13" s="4">
        <f>$AB$5*U13</f>
        <v/>
      </c>
      <c r="M13" s="4">
        <f>$AB$6*U13</f>
        <v/>
      </c>
      <c r="N13" s="4">
        <f>$AB$7*U13</f>
        <v/>
      </c>
      <c r="O13" s="6" t="n">
        <v>0.7</v>
      </c>
      <c r="P13" s="6" t="n">
        <v>0.3</v>
      </c>
      <c r="Q13" s="4">
        <f>$AB$8*U13</f>
        <v/>
      </c>
      <c r="R13" s="4">
        <f>$AB$9*U13</f>
        <v/>
      </c>
      <c r="S13" s="4">
        <f>(C13*P13*$AB$11+C13*O13*$AB$12)*0.01</f>
        <v/>
      </c>
      <c r="T13" s="7">
        <f>C13/$C$19</f>
        <v/>
      </c>
      <c r="U13" s="7">
        <f>V13/$V$19</f>
        <v/>
      </c>
      <c r="V13" s="8">
        <f>B13/200*0.05796</f>
        <v/>
      </c>
      <c r="W13" s="4">
        <f>(C13*P13*$AB$11+C13*O13*$AB$12+E13+F13+H13+I13+J13+K13+L13+M13+N13+Q13+R13+S13)/B13</f>
        <v/>
      </c>
      <c r="X13" s="4">
        <f>1.22*W13</f>
        <v/>
      </c>
      <c r="AA13" t="inlineStr">
        <is>
          <t>ТО (СБОР) итого</t>
        </is>
      </c>
      <c r="AB13">
        <f>IF(NOT(ISNUMBER(D19)),"",IF(D19&lt;=200000,1067,IF(D19&lt;=450000,2134,IF(D19&lt;=1200000,4269,IF(D19&lt;=2700000,11746,IF(D19&lt;=4200000,16524,IF(D19&lt;=5500000,21344,IF(D19&lt;=7000000,27540,30000))))))))</f>
        <v/>
      </c>
    </row>
    <row r="14">
      <c r="A14" s="2" t="inlineStr">
        <is>
          <t>B 25-436/437/438/439/440</t>
        </is>
      </c>
      <c r="B14" s="2" t="n">
        <v>25200</v>
      </c>
      <c r="C14" s="3" t="n">
        <v>19177.2</v>
      </c>
      <c r="D14" s="4">
        <f>C14*$AB$10+I14</f>
        <v/>
      </c>
      <c r="E14" s="4">
        <f>D14*0.05</f>
        <v/>
      </c>
      <c r="F14" s="5">
        <f>$AB$13*T14</f>
        <v/>
      </c>
      <c r="G14" s="4">
        <f>(D14+E14)*1.22</f>
        <v/>
      </c>
      <c r="H14" s="4">
        <f>$AB$2*U14</f>
        <v/>
      </c>
      <c r="I14" s="4">
        <f>$AB$1*U14</f>
        <v/>
      </c>
      <c r="J14" s="4">
        <f>$AB$3*U14</f>
        <v/>
      </c>
      <c r="K14" s="4">
        <f>$AB$4*U14</f>
        <v/>
      </c>
      <c r="L14" s="4">
        <f>$AB$5*U14</f>
        <v/>
      </c>
      <c r="M14" s="4">
        <f>$AB$6*U14</f>
        <v/>
      </c>
      <c r="N14" s="4">
        <f>$AB$7*U14</f>
        <v/>
      </c>
      <c r="O14" s="6" t="n">
        <v>0.7</v>
      </c>
      <c r="P14" s="6" t="n">
        <v>0.3</v>
      </c>
      <c r="Q14" s="4">
        <f>$AB$8*U14</f>
        <v/>
      </c>
      <c r="R14" s="4">
        <f>$AB$9*U14</f>
        <v/>
      </c>
      <c r="S14" s="4">
        <f>(C14*P14*$AB$11+C14*O14*$AB$12)*0.01</f>
        <v/>
      </c>
      <c r="T14" s="7">
        <f>C14/$C$19</f>
        <v/>
      </c>
      <c r="U14" s="7">
        <f>V14/$V$19</f>
        <v/>
      </c>
      <c r="V14" s="8">
        <f>B14/200*0.0288</f>
        <v/>
      </c>
      <c r="W14" s="4">
        <f>(C14*P14*$AB$11+C14*O14*$AB$12+E14+F14+H14+I14+J14+K14+L14+M14+N14+Q14+R14+S14)/B14</f>
        <v/>
      </c>
      <c r="X14" s="4">
        <f>1.22*W14</f>
        <v/>
      </c>
    </row>
    <row r="15">
      <c r="A15" s="2" t="inlineStr">
        <is>
          <t>SG 25-101/102/103/104/105</t>
        </is>
      </c>
      <c r="B15" s="2" t="n">
        <v>25000</v>
      </c>
      <c r="C15" s="3" t="n">
        <v>14375</v>
      </c>
      <c r="D15" s="4">
        <f>C15*$AB$10+I15</f>
        <v/>
      </c>
      <c r="E15" s="4">
        <f>D15*0.05</f>
        <v/>
      </c>
      <c r="F15" s="5">
        <f>$AB$13*T15</f>
        <v/>
      </c>
      <c r="G15" s="4">
        <f>(D15+E15)*1.22</f>
        <v/>
      </c>
      <c r="H15" s="4">
        <f>$AB$2*U15</f>
        <v/>
      </c>
      <c r="I15" s="4">
        <f>$AB$1*U15</f>
        <v/>
      </c>
      <c r="J15" s="4">
        <f>$AB$3*U15</f>
        <v/>
      </c>
      <c r="K15" s="4">
        <f>$AB$4*U15</f>
        <v/>
      </c>
      <c r="L15" s="4">
        <f>$AB$5*U15</f>
        <v/>
      </c>
      <c r="M15" s="4">
        <f>$AB$6*U15</f>
        <v/>
      </c>
      <c r="N15" s="4">
        <f>$AB$7*U15</f>
        <v/>
      </c>
      <c r="O15" s="6" t="n">
        <v>0.7</v>
      </c>
      <c r="P15" s="6" t="n">
        <v>0.3</v>
      </c>
      <c r="Q15" s="4">
        <f>$AB$8*U15</f>
        <v/>
      </c>
      <c r="R15" s="4">
        <f>$AB$9*U15</f>
        <v/>
      </c>
      <c r="S15" s="4">
        <f>(C15*P15*$AB$11+C15*O15*$AB$12)*0.01</f>
        <v/>
      </c>
      <c r="T15" s="7">
        <f>C15/$C$19</f>
        <v/>
      </c>
      <c r="U15" s="7">
        <f>V15/$V$19</f>
        <v/>
      </c>
      <c r="V15" s="8">
        <f>B15/200*0.01196</f>
        <v/>
      </c>
      <c r="W15" s="4">
        <f>(C15*P15*$AB$11+C15*O15*$AB$12+E15+F15+H15+I15+J15+K15+L15+M15+N15+Q15+R15+S15)/B15</f>
        <v/>
      </c>
      <c r="X15" s="4">
        <f>1.22*W15</f>
        <v/>
      </c>
    </row>
    <row r="16">
      <c r="A16" s="2" t="inlineStr">
        <is>
          <t>MG 25-201/202/203/204/205</t>
        </is>
      </c>
      <c r="B16" s="2" t="n">
        <v>25200</v>
      </c>
      <c r="C16" s="3" t="n">
        <v>22100.4</v>
      </c>
      <c r="D16" s="4">
        <f>C16*$AB$10+I16</f>
        <v/>
      </c>
      <c r="E16" s="4">
        <f>D16*0.05</f>
        <v/>
      </c>
      <c r="F16" s="5">
        <f>$AB$13*T16</f>
        <v/>
      </c>
      <c r="G16" s="4">
        <f>(D16+E16)*1.22</f>
        <v/>
      </c>
      <c r="H16" s="4">
        <f>$AB$2*U16</f>
        <v/>
      </c>
      <c r="I16" s="4">
        <f>$AB$1*U16</f>
        <v/>
      </c>
      <c r="J16" s="4">
        <f>$AB$3*U16</f>
        <v/>
      </c>
      <c r="K16" s="4">
        <f>$AB$4*U16</f>
        <v/>
      </c>
      <c r="L16" s="4">
        <f>$AB$5*U16</f>
        <v/>
      </c>
      <c r="M16" s="4">
        <f>$AB$6*U16</f>
        <v/>
      </c>
      <c r="N16" s="4">
        <f>$AB$7*U16</f>
        <v/>
      </c>
      <c r="O16" s="6" t="n">
        <v>0.7</v>
      </c>
      <c r="P16" s="6" t="n">
        <v>0.3</v>
      </c>
      <c r="Q16" s="4">
        <f>$AB$8*U16</f>
        <v/>
      </c>
      <c r="R16" s="4">
        <f>$AB$9*U16</f>
        <v/>
      </c>
      <c r="S16" s="4">
        <f>(C16*P16*$AB$11+C16*O16*$AB$12)*0.01</f>
        <v/>
      </c>
      <c r="T16" s="7">
        <f>C16/$C$19</f>
        <v/>
      </c>
      <c r="U16" s="7">
        <f>V16/$V$19</f>
        <v/>
      </c>
      <c r="V16" s="8">
        <f>B16/200*0.026208</f>
        <v/>
      </c>
      <c r="W16" s="4">
        <f>(C16*P16*$AB$11+C16*O16*$AB$12+E16+F16+H16+I16+J16+K16+L16+M16+N16+Q16+R16+S16)/B16</f>
        <v/>
      </c>
      <c r="X16" s="4">
        <f>1.22*W16</f>
        <v/>
      </c>
    </row>
    <row r="17">
      <c r="A17" s="2" t="inlineStr">
        <is>
          <t>MLG 25-701/702/703/704/705</t>
        </is>
      </c>
      <c r="B17" s="2" t="n">
        <v>25000</v>
      </c>
      <c r="C17" s="3" t="n">
        <v>27450</v>
      </c>
      <c r="D17" s="4">
        <f>C17*$AB$10+I17</f>
        <v/>
      </c>
      <c r="E17" s="4">
        <f>D17*0.05</f>
        <v/>
      </c>
      <c r="F17" s="5">
        <f>$AB$13*T17</f>
        <v/>
      </c>
      <c r="G17" s="4">
        <f>(D17+E17)*1.22</f>
        <v/>
      </c>
      <c r="H17" s="4">
        <f>$AB$2*U17</f>
        <v/>
      </c>
      <c r="I17" s="4">
        <f>$AB$1*U17</f>
        <v/>
      </c>
      <c r="J17" s="4">
        <f>$AB$3*U17</f>
        <v/>
      </c>
      <c r="K17" s="4">
        <f>$AB$4*U17</f>
        <v/>
      </c>
      <c r="L17" s="4">
        <f>$AB$5*U17</f>
        <v/>
      </c>
      <c r="M17" s="4">
        <f>$AB$6*U17</f>
        <v/>
      </c>
      <c r="N17" s="4">
        <f>$AB$7*U17</f>
        <v/>
      </c>
      <c r="O17" s="6" t="n">
        <v>0.7</v>
      </c>
      <c r="P17" s="6" t="n">
        <v>0.3</v>
      </c>
      <c r="Q17" s="4">
        <f>$AB$8*U17</f>
        <v/>
      </c>
      <c r="R17" s="4">
        <f>$AB$9*U17</f>
        <v/>
      </c>
      <c r="S17" s="4">
        <f>(C17*P17*$AB$11+C17*O17*$AB$12)*0.01</f>
        <v/>
      </c>
      <c r="T17" s="7">
        <f>C17/$C$19</f>
        <v/>
      </c>
      <c r="U17" s="7">
        <f>V17/$V$19</f>
        <v/>
      </c>
      <c r="V17" s="8">
        <f>B17/200*0.040608</f>
        <v/>
      </c>
      <c r="W17" s="4">
        <f>(C17*P17*$AB$11+C17*O17*$AB$12+E17+F17+H17+I17+J17+K17+L17+M17+N17+Q17+R17+S17)/B17</f>
        <v/>
      </c>
      <c r="X17" s="4">
        <f>1.22*W17</f>
        <v/>
      </c>
    </row>
    <row r="18">
      <c r="A18" s="2" t="inlineStr">
        <is>
          <t>BG 25-401/402/403/404/405</t>
        </is>
      </c>
      <c r="B18" s="2" t="n">
        <v>25200</v>
      </c>
      <c r="C18" s="3" t="n">
        <v>23184</v>
      </c>
      <c r="D18" s="4">
        <f>C18*$AB$10+I18</f>
        <v/>
      </c>
      <c r="E18" s="4">
        <f>D18*0.05</f>
        <v/>
      </c>
      <c r="F18" s="5">
        <f>$AB$13*T18</f>
        <v/>
      </c>
      <c r="G18" s="4">
        <f>(D18+E18)*1.22</f>
        <v/>
      </c>
      <c r="H18" s="4">
        <f>$AB$2*U18</f>
        <v/>
      </c>
      <c r="I18" s="4">
        <f>$AB$1*U18</f>
        <v/>
      </c>
      <c r="J18" s="4">
        <f>$AB$3*U18</f>
        <v/>
      </c>
      <c r="K18" s="4">
        <f>$AB$4*U18</f>
        <v/>
      </c>
      <c r="L18" s="4">
        <f>$AB$5*U18</f>
        <v/>
      </c>
      <c r="M18" s="4">
        <f>$AB$6*U18</f>
        <v/>
      </c>
      <c r="N18" s="4">
        <f>$AB$7*U18</f>
        <v/>
      </c>
      <c r="O18" s="6" t="n">
        <v>0.7</v>
      </c>
      <c r="P18" s="6" t="n">
        <v>0.3</v>
      </c>
      <c r="Q18" s="4">
        <f>$AB$8*U18</f>
        <v/>
      </c>
      <c r="R18" s="4">
        <f>$AB$9*U18</f>
        <v/>
      </c>
      <c r="S18" s="4">
        <f>(C18*P18*$AB$11+C18*O18*$AB$12)*0.01</f>
        <v/>
      </c>
      <c r="T18" s="7">
        <f>C18/$C$19</f>
        <v/>
      </c>
      <c r="U18" s="7">
        <f>V18/$V$19</f>
        <v/>
      </c>
      <c r="V18" s="8">
        <f>B18/200*0.029232</f>
        <v/>
      </c>
      <c r="W18" s="4">
        <f>(C18*P18*$AB$11+C18*O18*$AB$12+E18+F18+H18+I18+J18+K18+L18+M18+N18+Q18+R18+S18)/B18</f>
        <v/>
      </c>
      <c r="X18" s="4">
        <f>1.22*W18</f>
        <v/>
      </c>
    </row>
    <row r="19">
      <c r="A19" s="9" t="inlineStr">
        <is>
          <t>Итого</t>
        </is>
      </c>
      <c r="B19" s="9">
        <f>SUM(B2:B18)</f>
        <v/>
      </c>
      <c r="C19" s="10">
        <f>SUM(C2:C18)</f>
        <v/>
      </c>
      <c r="D19" s="11">
        <f>SUM(D2:D18)</f>
        <v/>
      </c>
      <c r="E19" s="11">
        <f>SUM(E2:E18)</f>
        <v/>
      </c>
      <c r="F19" s="12">
        <f>SUM(F2:F18)</f>
        <v/>
      </c>
      <c r="G19" s="11">
        <f>SUM(G2:G18)</f>
        <v/>
      </c>
      <c r="H19" s="11" t="n"/>
      <c r="I19" s="11" t="n"/>
      <c r="J19" s="11" t="n"/>
      <c r="K19" s="11" t="n"/>
      <c r="L19" s="11" t="n"/>
      <c r="M19" s="11" t="n"/>
      <c r="N19" s="11" t="n"/>
      <c r="O19" s="13" t="n"/>
      <c r="P19" s="13" t="n"/>
      <c r="Q19" s="11" t="n"/>
      <c r="R19" s="11" t="n"/>
      <c r="S19" s="11" t="n"/>
      <c r="T19" s="14">
        <f>SUM(T2:T18)</f>
        <v/>
      </c>
      <c r="U19" s="14">
        <f>SUM(U2:U18)</f>
        <v/>
      </c>
      <c r="V19" s="15">
        <f>SUM(V2:V18)</f>
        <v/>
      </c>
      <c r="W19" s="11" t="n"/>
      <c r="X1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2026-01-16T13:37:30Z</dcterms:created>
  <dcterms:modified xsi:type="dcterms:W3CDTF">2026-01-16T13:37:30Z</dcterms:modified>
</cp:coreProperties>
</file>